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ahvikupit" sheetId="1" state="visible" r:id="rId1"/>
    <sheet name="2_Kuntosali" sheetId="2" state="visible" r:id="rId2"/>
    <sheet name="3_Matkatoimis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34" customWidth="1" min="3" max="3"/>
  </cols>
  <sheetData>
    <row r="1">
      <c r="A1" s="1" t="inlineStr">
        <is>
          <t>Tehtävä 1: Kahvikupit</t>
        </is>
      </c>
      <c r="B1" t="inlineStr"/>
      <c r="C1" t="inlineStr"/>
    </row>
    <row r="2">
      <c r="A2" s="1" t="inlineStr">
        <is>
          <t>Oletukset</t>
        </is>
      </c>
      <c r="B2" t="inlineStr"/>
      <c r="C2" t="inlineStr"/>
    </row>
    <row r="3">
      <c r="A3" t="inlineStr">
        <is>
          <t>Kappalehinta</t>
        </is>
      </c>
      <c r="B3" t="n">
        <v>5</v>
      </c>
      <c r="C3" t="inlineStr">
        <is>
          <t>eur/kpl</t>
        </is>
      </c>
    </row>
    <row r="4">
      <c r="A4" t="inlineStr">
        <is>
          <t>Muuttuva kustannus / kuppi</t>
        </is>
      </c>
      <c r="B4" t="n">
        <v>2</v>
      </c>
      <c r="C4" t="inlineStr">
        <is>
          <t>eur/kpl</t>
        </is>
      </c>
    </row>
    <row r="5">
      <c r="A5" t="inlineStr">
        <is>
          <t>Kiinteät kustannukset / vuosi</t>
        </is>
      </c>
      <c r="B5" t="n">
        <v>10000</v>
      </c>
      <c r="C5" t="inlineStr">
        <is>
          <t>eur</t>
        </is>
      </c>
    </row>
    <row r="6">
      <c r="A6" t="inlineStr"/>
      <c r="B6" t="inlineStr"/>
      <c r="C6" t="inlineStr"/>
    </row>
    <row r="7">
      <c r="A7" s="1" t="inlineStr">
        <is>
          <t>Tämä vuosi</t>
        </is>
      </c>
      <c r="B7" t="inlineStr"/>
      <c r="C7" t="inlineStr"/>
    </row>
    <row r="8">
      <c r="A8" s="1" t="inlineStr">
        <is>
          <t>Myyntimäärä</t>
        </is>
      </c>
      <c r="B8" t="n">
        <v>5000</v>
      </c>
      <c r="C8" t="inlineStr">
        <is>
          <t>kpl</t>
        </is>
      </c>
    </row>
    <row r="9">
      <c r="A9" s="1" t="inlineStr">
        <is>
          <t>Liikevaihto</t>
        </is>
      </c>
      <c r="B9">
        <f>B3*B8</f>
        <v/>
      </c>
      <c r="C9" t="inlineStr">
        <is>
          <t>hinta * määrä</t>
        </is>
      </c>
    </row>
    <row r="10">
      <c r="A10" t="inlineStr">
        <is>
          <t>Muuttuvat kustannukset</t>
        </is>
      </c>
      <c r="B10">
        <f>B4*B8</f>
        <v/>
      </c>
      <c r="C10" t="inlineStr">
        <is>
          <t>muuttuva kustannus * määrä</t>
        </is>
      </c>
    </row>
    <row r="11">
      <c r="A11" t="inlineStr">
        <is>
          <t>Katetuotto</t>
        </is>
      </c>
      <c r="B11">
        <f>B9-B10</f>
        <v/>
      </c>
      <c r="C11" t="inlineStr">
        <is>
          <t>liikevaihto - muuttuvat kustannukset</t>
        </is>
      </c>
    </row>
    <row r="12">
      <c r="A12" t="inlineStr">
        <is>
          <t>Tulos</t>
        </is>
      </c>
      <c r="B12">
        <f>B11-B5</f>
        <v/>
      </c>
      <c r="C12" t="inlineStr">
        <is>
          <t>katetuotto - kiinteät kustannukset</t>
        </is>
      </c>
    </row>
    <row r="13">
      <c r="A13" t="inlineStr"/>
      <c r="B13" t="inlineStr"/>
      <c r="C13" t="inlineStr"/>
    </row>
    <row r="14">
      <c r="A14" s="1" t="inlineStr">
        <is>
          <t>Ensi vuosi (suunnitelma)</t>
        </is>
      </c>
      <c r="B14" t="inlineStr"/>
      <c r="C14" t="inlineStr"/>
    </row>
    <row r="15">
      <c r="A15" s="1" t="inlineStr">
        <is>
          <t>Myyntimäärä</t>
        </is>
      </c>
      <c r="B15" t="n">
        <v>6000</v>
      </c>
      <c r="C15" t="inlineStr">
        <is>
          <t>kpl</t>
        </is>
      </c>
    </row>
    <row r="16">
      <c r="A16" t="inlineStr">
        <is>
          <t>Liikevaihto</t>
        </is>
      </c>
      <c r="B16">
        <f>B3*B15</f>
        <v/>
      </c>
      <c r="C16" t="inlineStr">
        <is>
          <t>hinta * määrä</t>
        </is>
      </c>
    </row>
    <row r="17">
      <c r="A17" t="inlineStr">
        <is>
          <t>Muuttuvat kustannukset</t>
        </is>
      </c>
      <c r="B17">
        <f>B4*B15</f>
        <v/>
      </c>
      <c r="C17" t="inlineStr">
        <is>
          <t>muuttuva kustannus * määrä</t>
        </is>
      </c>
    </row>
    <row r="18">
      <c r="A18" t="inlineStr">
        <is>
          <t>Katetuotto</t>
        </is>
      </c>
      <c r="B18">
        <f>B16-B17</f>
        <v/>
      </c>
      <c r="C18" t="inlineStr">
        <is>
          <t>liikevaihto - muuttuvat kustannukset</t>
        </is>
      </c>
    </row>
    <row r="19">
      <c r="A19" t="inlineStr">
        <is>
          <t>Tulos</t>
        </is>
      </c>
      <c r="B19">
        <f>B18-B5</f>
        <v/>
      </c>
      <c r="C19" t="inlineStr">
        <is>
          <t>katetuotto - kiinteät kustannukset</t>
        </is>
      </c>
    </row>
    <row r="20">
      <c r="A20" t="inlineStr"/>
      <c r="B20" t="inlineStr"/>
      <c r="C20" t="inlineStr"/>
    </row>
    <row r="21">
      <c r="A21" s="1" t="inlineStr">
        <is>
          <t>Ensi vuoden vaihtoehto (6600 kpl, hinta 4,6)</t>
        </is>
      </c>
      <c r="B21" t="inlineStr"/>
      <c r="C21" t="inlineStr"/>
    </row>
    <row r="22">
      <c r="A22" t="inlineStr">
        <is>
          <t>Kappalehinta</t>
        </is>
      </c>
      <c r="B22" t="n">
        <v>4.6</v>
      </c>
      <c r="C22" t="inlineStr">
        <is>
          <t>eur/kpl</t>
        </is>
      </c>
    </row>
    <row r="23">
      <c r="A23" s="1" t="inlineStr">
        <is>
          <t>Myyntimäärä</t>
        </is>
      </c>
      <c r="B23" t="n">
        <v>6600</v>
      </c>
      <c r="C23" t="inlineStr">
        <is>
          <t>kpl</t>
        </is>
      </c>
    </row>
    <row r="24">
      <c r="A24" t="inlineStr">
        <is>
          <t>Liikevaihto</t>
        </is>
      </c>
      <c r="B24">
        <f>B22*B23</f>
        <v/>
      </c>
      <c r="C24" t="inlineStr">
        <is>
          <t>hinta * määrä</t>
        </is>
      </c>
    </row>
    <row r="25">
      <c r="A25" t="inlineStr">
        <is>
          <t>Muuttuvat kustannukset</t>
        </is>
      </c>
      <c r="B25">
        <f>B4*B23</f>
        <v/>
      </c>
      <c r="C25" t="inlineStr">
        <is>
          <t>muuttuva kustannus * määrä</t>
        </is>
      </c>
    </row>
    <row r="26">
      <c r="A26" t="inlineStr">
        <is>
          <t>Katetuotto</t>
        </is>
      </c>
      <c r="B26">
        <f>B24-B25</f>
        <v/>
      </c>
      <c r="C26" t="inlineStr">
        <is>
          <t>liikevaihto - muuttuvat kustannukset</t>
        </is>
      </c>
    </row>
    <row r="27">
      <c r="A27" s="1" t="inlineStr">
        <is>
          <t>Kiinteät kustannukset</t>
        </is>
      </c>
      <c r="B27">
        <f>B5</f>
        <v/>
      </c>
      <c r="C27" t="inlineStr">
        <is>
          <t>eur</t>
        </is>
      </c>
    </row>
    <row r="28">
      <c r="A28" t="inlineStr">
        <is>
          <t>Tulos</t>
        </is>
      </c>
      <c r="B28">
        <f>B26-B27</f>
        <v/>
      </c>
      <c r="C28" t="inlineStr">
        <is>
          <t>katetuotto - kiinteät kustannukset</t>
        </is>
      </c>
    </row>
    <row r="29">
      <c r="A29" t="inlineStr">
        <is>
          <t>Katetuotto-%</t>
        </is>
      </c>
      <c r="B29" s="2">
        <f>B26/B24</f>
        <v/>
      </c>
      <c r="C29" t="inlineStr">
        <is>
          <t>muotoile prosentiksi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34" customWidth="1" min="3" max="3"/>
  </cols>
  <sheetData>
    <row r="1">
      <c r="A1" s="1" t="inlineStr">
        <is>
          <t>Tehtävä 2: Kuntosali</t>
        </is>
      </c>
      <c r="B1" t="inlineStr"/>
      <c r="C1" t="inlineStr"/>
    </row>
    <row r="2">
      <c r="A2" s="1" t="inlineStr">
        <is>
          <t>Oletukset</t>
        </is>
      </c>
      <c r="B2" t="inlineStr"/>
      <c r="C2" t="inlineStr"/>
    </row>
    <row r="3">
      <c r="A3" t="inlineStr">
        <is>
          <t>Asiakaskäynnit / kk</t>
        </is>
      </c>
      <c r="B3" t="n">
        <v>1800</v>
      </c>
      <c r="C3" t="inlineStr">
        <is>
          <t>kpl</t>
        </is>
      </c>
    </row>
    <row r="4">
      <c r="A4" t="inlineStr">
        <is>
          <t>Hinta / käynti</t>
        </is>
      </c>
      <c r="B4" t="n">
        <v>6</v>
      </c>
      <c r="C4" t="inlineStr">
        <is>
          <t>eur</t>
        </is>
      </c>
    </row>
    <row r="5">
      <c r="A5" t="inlineStr">
        <is>
          <t>Muuttuva kustannus / käynti</t>
        </is>
      </c>
      <c r="B5" t="n">
        <v>1</v>
      </c>
      <c r="C5" t="inlineStr">
        <is>
          <t>eur</t>
        </is>
      </c>
    </row>
    <row r="6">
      <c r="A6" t="inlineStr">
        <is>
          <t>Kiinteät kustannukset / kk</t>
        </is>
      </c>
      <c r="B6" t="n">
        <v>5000</v>
      </c>
      <c r="C6" t="inlineStr">
        <is>
          <t>eur</t>
        </is>
      </c>
    </row>
    <row r="7">
      <c r="A7" t="inlineStr"/>
      <c r="B7" t="inlineStr"/>
      <c r="C7" t="inlineStr"/>
    </row>
    <row r="8">
      <c r="A8" s="1" t="inlineStr">
        <is>
          <t>a) Katetuottolaskelma</t>
        </is>
      </c>
      <c r="B8" t="inlineStr"/>
      <c r="C8" t="inlineStr"/>
    </row>
    <row r="9">
      <c r="A9" s="1" t="inlineStr">
        <is>
          <t>Liikevaihto</t>
        </is>
      </c>
      <c r="B9">
        <f>B3*B4</f>
        <v/>
      </c>
      <c r="C9" t="inlineStr"/>
    </row>
    <row r="10">
      <c r="A10" t="inlineStr">
        <is>
          <t>Muuttuvat kustannukset</t>
        </is>
      </c>
      <c r="B10">
        <f>B3*B5</f>
        <v/>
      </c>
      <c r="C10" t="inlineStr"/>
    </row>
    <row r="11">
      <c r="A11" t="inlineStr">
        <is>
          <t>Katetuotto</t>
        </is>
      </c>
      <c r="B11">
        <f>B9-B10</f>
        <v/>
      </c>
      <c r="C11" t="inlineStr"/>
    </row>
    <row r="12">
      <c r="A12" t="inlineStr">
        <is>
          <t>Tulos</t>
        </is>
      </c>
      <c r="B12">
        <f>B11-B6</f>
        <v/>
      </c>
      <c r="C12" t="inlineStr"/>
    </row>
    <row r="13">
      <c r="A13" t="inlineStr"/>
      <c r="B13" t="inlineStr"/>
      <c r="C13" t="inlineStr"/>
    </row>
    <row r="14">
      <c r="A14" s="1" t="inlineStr">
        <is>
          <t>b) Katetuottoprosentti</t>
        </is>
      </c>
      <c r="B14" s="2">
        <f>B11/B9</f>
        <v/>
      </c>
      <c r="C14" t="inlineStr">
        <is>
          <t>muotoile prosentiksi</t>
        </is>
      </c>
    </row>
    <row r="15">
      <c r="A15" t="inlineStr"/>
      <c r="B15" t="inlineStr"/>
      <c r="C15" t="inlineStr"/>
    </row>
    <row r="16">
      <c r="A16" t="inlineStr">
        <is>
          <t>c) Kriittinen piste euroina</t>
        </is>
      </c>
      <c r="B16">
        <f>B6/(1-B10/B9)</f>
        <v/>
      </c>
      <c r="C16" t="inlineStr"/>
    </row>
    <row r="17">
      <c r="A17" t="inlineStr"/>
      <c r="B17" t="inlineStr"/>
      <c r="C17" t="inlineStr"/>
    </row>
    <row r="18">
      <c r="A18" t="inlineStr">
        <is>
          <t>d) Kriittinen piste asiakasmäärä</t>
        </is>
      </c>
      <c r="B18">
        <f>B16/B4</f>
        <v/>
      </c>
      <c r="C18" t="inlineStr">
        <is>
          <t>kpl</t>
        </is>
      </c>
    </row>
    <row r="19">
      <c r="A19" t="inlineStr"/>
      <c r="B19" t="inlineStr"/>
      <c r="C19" t="inlineStr"/>
    </row>
    <row r="20">
      <c r="A20" t="inlineStr">
        <is>
          <t>e) Varmuusmarginaali euroina</t>
        </is>
      </c>
      <c r="B20">
        <f>B9-B16</f>
        <v/>
      </c>
      <c r="C20" t="inlineStr"/>
    </row>
    <row r="21">
      <c r="A21" s="1" t="inlineStr">
        <is>
          <t>Varmuusmarginaali-%</t>
        </is>
      </c>
      <c r="B21" s="2">
        <f>(B9-B16)/B9</f>
        <v/>
      </c>
      <c r="C21" t="inlineStr">
        <is>
          <t>muotoile prosentiksi</t>
        </is>
      </c>
    </row>
    <row r="22">
      <c r="A22" t="inlineStr"/>
      <c r="B22" t="inlineStr"/>
      <c r="C22" t="inlineStr"/>
    </row>
    <row r="23">
      <c r="A23" s="1" t="inlineStr">
        <is>
          <t>f) Tulos, jos asiakasmäärä laskee 15%</t>
        </is>
      </c>
      <c r="B23" t="inlineStr"/>
      <c r="C23" t="inlineStr"/>
    </row>
    <row r="24">
      <c r="A24" t="inlineStr">
        <is>
          <t>Uusi asiakasmäärä</t>
        </is>
      </c>
      <c r="B24">
        <f>B3*(1-15%)</f>
        <v/>
      </c>
      <c r="C24" t="inlineStr">
        <is>
          <t>kpl</t>
        </is>
      </c>
    </row>
    <row r="25">
      <c r="A25" t="inlineStr">
        <is>
          <t>Uusi liikevaihto</t>
        </is>
      </c>
      <c r="B25">
        <f>B24*B4</f>
        <v/>
      </c>
      <c r="C25" t="inlineStr"/>
    </row>
    <row r="26">
      <c r="A26" t="inlineStr">
        <is>
          <t>Uudet muuttuvat kustannukset</t>
        </is>
      </c>
      <c r="B26">
        <f>B24*B5</f>
        <v/>
      </c>
      <c r="C26" t="inlineStr"/>
    </row>
    <row r="27">
      <c r="A27" s="1" t="inlineStr">
        <is>
          <t>Uusi katetuotto</t>
        </is>
      </c>
      <c r="B27">
        <f>B25-B26</f>
        <v/>
      </c>
      <c r="C27" t="inlineStr"/>
    </row>
    <row r="28">
      <c r="A28" t="inlineStr">
        <is>
          <t>Uusi tulos</t>
        </is>
      </c>
      <c r="B28">
        <f>B27-B6</f>
        <v/>
      </c>
      <c r="C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34" customWidth="1" min="3" max="3"/>
  </cols>
  <sheetData>
    <row r="1">
      <c r="A1" s="1" t="inlineStr">
        <is>
          <t>Tehtävä 3: Matkatoimisto</t>
        </is>
      </c>
      <c r="B1" t="inlineStr"/>
      <c r="C1" t="inlineStr"/>
    </row>
    <row r="2">
      <c r="A2" s="1" t="inlineStr">
        <is>
          <t>Oletukset</t>
        </is>
      </c>
      <c r="B2" t="inlineStr"/>
      <c r="C2" t="inlineStr"/>
    </row>
    <row r="3">
      <c r="A3" t="inlineStr">
        <is>
          <t>Bussin ja kuljettajan vuokra</t>
        </is>
      </c>
      <c r="B3" t="n">
        <v>2500</v>
      </c>
      <c r="C3" t="inlineStr">
        <is>
          <t>eur/matka</t>
        </is>
      </c>
    </row>
    <row r="4">
      <c r="A4" t="inlineStr">
        <is>
          <t>Oppaan palkkio</t>
        </is>
      </c>
      <c r="B4" t="n">
        <v>1500</v>
      </c>
      <c r="C4" t="inlineStr">
        <is>
          <t>eur/matka</t>
        </is>
      </c>
    </row>
    <row r="5">
      <c r="A5" t="inlineStr">
        <is>
          <t>Hotelli + aamiainen / hlö</t>
        </is>
      </c>
      <c r="B5" t="n">
        <v>130</v>
      </c>
      <c r="C5" t="inlineStr">
        <is>
          <t>eur/hlö</t>
        </is>
      </c>
    </row>
    <row r="6">
      <c r="A6" t="inlineStr">
        <is>
          <t>Bussin kapasiteetti</t>
        </is>
      </c>
      <c r="B6" t="n">
        <v>50</v>
      </c>
      <c r="C6" t="inlineStr">
        <is>
          <t>hlö</t>
        </is>
      </c>
    </row>
    <row r="7">
      <c r="A7" s="1" t="inlineStr">
        <is>
          <t>Kiinteät kustannukset yhteensä</t>
        </is>
      </c>
      <c r="B7">
        <f>B3+B4</f>
        <v/>
      </c>
      <c r="C7" t="inlineStr">
        <is>
          <t>eur</t>
        </is>
      </c>
    </row>
    <row r="8">
      <c r="A8" t="inlineStr"/>
      <c r="B8" t="inlineStr"/>
      <c r="C8" t="inlineStr"/>
    </row>
    <row r="9">
      <c r="A9" s="1" t="inlineStr">
        <is>
          <t>a) Bussi täynnä, voittotavoite 2000 eur</t>
        </is>
      </c>
      <c r="B9" t="inlineStr"/>
      <c r="C9" t="inlineStr"/>
    </row>
    <row r="10">
      <c r="A10" t="inlineStr">
        <is>
          <t>Matkustajamäärä</t>
        </is>
      </c>
      <c r="B10">
        <f>B6</f>
        <v/>
      </c>
      <c r="C10" t="inlineStr">
        <is>
          <t>hlö</t>
        </is>
      </c>
    </row>
    <row r="11">
      <c r="A11" t="inlineStr">
        <is>
          <t>Voittotavoite</t>
        </is>
      </c>
      <c r="B11" t="n">
        <v>2000</v>
      </c>
      <c r="C11" t="inlineStr">
        <is>
          <t>eur</t>
        </is>
      </c>
    </row>
    <row r="12">
      <c r="A12" t="inlineStr">
        <is>
          <t>Tarvittava liikevaihto</t>
        </is>
      </c>
      <c r="B12">
        <f>B7+B5*B10+B11</f>
        <v/>
      </c>
      <c r="C12" t="inlineStr"/>
    </row>
    <row r="13">
      <c r="A13" t="inlineStr">
        <is>
          <t>Hinta / hlö</t>
        </is>
      </c>
      <c r="B13">
        <f>B12/B10</f>
        <v/>
      </c>
      <c r="C13" t="inlineStr">
        <is>
          <t>eur</t>
        </is>
      </c>
    </row>
    <row r="14">
      <c r="A14" t="inlineStr"/>
      <c r="B14" t="inlineStr"/>
      <c r="C14" t="inlineStr"/>
    </row>
    <row r="15">
      <c r="A15" s="1" t="inlineStr">
        <is>
          <t>b) Käyttöaste 80%, voittotavoite 2000 eur</t>
        </is>
      </c>
      <c r="B15" t="inlineStr"/>
      <c r="C15" t="inlineStr"/>
    </row>
    <row r="16">
      <c r="A16" t="inlineStr">
        <is>
          <t>Matkustajamäärä</t>
        </is>
      </c>
      <c r="B16">
        <f>B6*80%</f>
        <v/>
      </c>
      <c r="C16" t="inlineStr">
        <is>
          <t>hlö</t>
        </is>
      </c>
    </row>
    <row r="17">
      <c r="A17" t="inlineStr">
        <is>
          <t>Voittotavoite</t>
        </is>
      </c>
      <c r="B17" t="n">
        <v>2000</v>
      </c>
      <c r="C17" t="inlineStr">
        <is>
          <t>eur</t>
        </is>
      </c>
    </row>
    <row r="18">
      <c r="A18" t="inlineStr">
        <is>
          <t>Tarvittava liikevaihto</t>
        </is>
      </c>
      <c r="B18">
        <f>B7+B5*B16+B17</f>
        <v/>
      </c>
      <c r="C18" t="inlineStr"/>
    </row>
    <row r="19">
      <c r="A19" t="inlineStr">
        <is>
          <t>Hinta / hlö</t>
        </is>
      </c>
      <c r="B19">
        <f>B18/B16</f>
        <v/>
      </c>
      <c r="C19" t="inlineStr">
        <is>
          <t>eur</t>
        </is>
      </c>
    </row>
    <row r="20">
      <c r="A20" t="inlineStr"/>
      <c r="B20" t="inlineStr"/>
      <c r="C20" t="inlineStr"/>
    </row>
    <row r="21">
      <c r="A21" s="1" t="inlineStr">
        <is>
          <t>c) Bussi täynnä, voittotavoite 5000 eur</t>
        </is>
      </c>
      <c r="B21" t="inlineStr"/>
      <c r="C21" t="inlineStr"/>
    </row>
    <row r="22">
      <c r="A22" t="inlineStr">
        <is>
          <t>Matkustajamäärä</t>
        </is>
      </c>
      <c r="B22">
        <f>B6</f>
        <v/>
      </c>
      <c r="C22" t="inlineStr">
        <is>
          <t>hlö</t>
        </is>
      </c>
    </row>
    <row r="23">
      <c r="A23" s="1" t="inlineStr">
        <is>
          <t>Voittotavoite</t>
        </is>
      </c>
      <c r="B23" t="n">
        <v>5000</v>
      </c>
      <c r="C23" t="inlineStr">
        <is>
          <t>eur</t>
        </is>
      </c>
    </row>
    <row r="24">
      <c r="A24" t="inlineStr">
        <is>
          <t>Tarvittava liikevaihto</t>
        </is>
      </c>
      <c r="B24">
        <f>B7+B5*B22+B23</f>
        <v/>
      </c>
      <c r="C24" t="inlineStr"/>
    </row>
    <row r="25">
      <c r="A25" t="inlineStr">
        <is>
          <t>Hinta / hlö</t>
        </is>
      </c>
      <c r="B25">
        <f>B24/B22</f>
        <v/>
      </c>
      <c r="C25" t="inlineStr">
        <is>
          <t>eur</t>
        </is>
      </c>
    </row>
    <row r="26">
      <c r="A26" t="inlineStr"/>
      <c r="B26" t="inlineStr"/>
      <c r="C26" t="inlineStr"/>
    </row>
    <row r="27">
      <c r="A27" s="1" t="inlineStr">
        <is>
          <t>d) Käyttöaste 50%, voittotavoite 1000 eur</t>
        </is>
      </c>
      <c r="B27" t="inlineStr"/>
      <c r="C27" t="inlineStr"/>
    </row>
    <row r="28">
      <c r="A28" t="inlineStr">
        <is>
          <t>Matkustajamäärä</t>
        </is>
      </c>
      <c r="B28">
        <f>B6*50%</f>
        <v/>
      </c>
      <c r="C28" t="inlineStr">
        <is>
          <t>hlö</t>
        </is>
      </c>
    </row>
    <row r="29">
      <c r="A29" t="inlineStr">
        <is>
          <t>Voittotavoite</t>
        </is>
      </c>
      <c r="B29" t="n">
        <v>1000</v>
      </c>
      <c r="C29" t="inlineStr">
        <is>
          <t>eur</t>
        </is>
      </c>
    </row>
    <row r="30">
      <c r="A30" t="inlineStr">
        <is>
          <t>Tarvittava liikevaihto</t>
        </is>
      </c>
      <c r="B30">
        <f>B7+B5*B28+B29</f>
        <v/>
      </c>
      <c r="C30" t="inlineStr"/>
    </row>
    <row r="31">
      <c r="A31" t="inlineStr">
        <is>
          <t>Hinta / hlö</t>
        </is>
      </c>
      <c r="B31">
        <f>B30/B28</f>
        <v/>
      </c>
      <c r="C3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2026-04-23T08:43:05Z</dcterms:created>
  <dcterms:modified xsi:type="dcterms:W3CDTF">2026-04-23T08:43:05Z</dcterms:modified>
</cp:coreProperties>
</file>